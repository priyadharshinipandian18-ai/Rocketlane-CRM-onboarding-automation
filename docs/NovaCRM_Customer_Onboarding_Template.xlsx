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 Information" sheetId="1" state="visible" r:id="rId3"/>
    <sheet name="Onboarding Checklist" sheetId="2" state="visible" r:id="rId4"/>
    <sheet name="Tier Differences" sheetId="3" state="visible" r:id="rId5"/>
    <sheet name="Escalation &amp; Guardrails" sheetId="4" state="visible" r:id="rId6"/>
  </sheets>
  <definedNames>
    <definedName function="false" hidden="true" localSheetId="1" name="_xlnm._FilterDatabase" vbProcedure="false">'Onboarding Checklist'!$A$8:$N$38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Only set after the AE explicitly confirms the tier (voice call read-back) or a CS Manager sets it manually.</t>
        </r>
      </text>
    </comment>
  </commentList>
</comments>
</file>

<file path=xl/sharedStrings.xml><?xml version="1.0" encoding="utf-8"?>
<sst xmlns="http://schemas.openxmlformats.org/spreadsheetml/2006/main" count="381" uniqueCount="241">
  <si>
    <t xml:space="preserve">NovaCRM – New Customer Onboarding</t>
  </si>
  <si>
    <t xml:space="preserve">How to use: make a copy per customer. Fill the yellow cells (most are pre-filled by the Intake &amp; Communication agents). Grey cells are calculated. Column C shows an example of the expected format.</t>
  </si>
  <si>
    <t xml:space="preserve">Field</t>
  </si>
  <si>
    <t xml:space="preserve">Value</t>
  </si>
  <si>
    <t xml:space="preserve">Example (format)</t>
  </si>
  <si>
    <t xml:space="preserve">Source / notes</t>
  </si>
  <si>
    <t xml:space="preserve">Customer (company) name</t>
  </si>
  <si>
    <t xml:space="preserve">Acme Corp</t>
  </si>
  <si>
    <t xml:space="preserve">Deal email – Agent 1</t>
  </si>
  <si>
    <t xml:space="preserve">Customer primary contact name</t>
  </si>
  <si>
    <t xml:space="preserve">Jane Doe</t>
  </si>
  <si>
    <t xml:space="preserve">Customer primary contact email</t>
  </si>
  <si>
    <t xml:space="preserve">jane.doe@acme.com</t>
  </si>
  <si>
    <t xml:space="preserve">Deal email – Agent 1; invited to Slack</t>
  </si>
  <si>
    <t xml:space="preserve">Account Executive (AE)</t>
  </si>
  <si>
    <t xml:space="preserve">Raj Kumar</t>
  </si>
  <si>
    <t xml:space="preserve">AE email</t>
  </si>
  <si>
    <t xml:space="preserve">raj.kumar@novacrm.com</t>
  </si>
  <si>
    <t xml:space="preserve">Sender of the deal email</t>
  </si>
  <si>
    <t xml:space="preserve">AE phone (E.164)</t>
  </si>
  <si>
    <t xml:space="preserve">+919876543210</t>
  </si>
  <si>
    <t xml:space="preserve">AE directory – used for the tier call</t>
  </si>
  <si>
    <t xml:space="preserve">Salesforce opportunity link</t>
  </si>
  <si>
    <t xml:space="preserve">https://novacrm.my.salesforce.com/006XXXXXXXXXXXX</t>
  </si>
  <si>
    <t xml:space="preserve">Deal email – required field</t>
  </si>
  <si>
    <t xml:space="preserve">Signed Order Form link(s)</t>
  </si>
  <si>
    <t xml:space="preserve">https://drive.example.com/acme-order-form.pdf</t>
  </si>
  <si>
    <t xml:space="preserve">AE / Deal desk</t>
  </si>
  <si>
    <t xml:space="preserve">Plan tier</t>
  </si>
  <si>
    <t xml:space="preserve">Enterprise</t>
  </si>
  <si>
    <t xml:space="preserve">Confirmed by AE on the phone – never guessed</t>
  </si>
  <si>
    <t xml:space="preserve">Tier confirmed via</t>
  </si>
  <si>
    <t xml:space="preserve">Voice call</t>
  </si>
  <si>
    <t xml:space="preserve">Voice call (Agent 1) or Manual (CS Manager)</t>
  </si>
  <si>
    <t xml:space="preserve">Tier confirmed on</t>
  </si>
  <si>
    <t xml:space="preserve">2026-10-07</t>
  </si>
  <si>
    <t xml:space="preserve">Date of confirmation</t>
  </si>
  <si>
    <t xml:space="preserve">Onboarding duration (days)</t>
  </si>
  <si>
    <t xml:space="preserve">Enterprise 30 / Growth 14</t>
  </si>
  <si>
    <t xml:space="preserve">CSM model</t>
  </si>
  <si>
    <t xml:space="preserve">Dedicated CSM</t>
  </si>
  <si>
    <t xml:space="preserve">Enterprise dedicated / Growth pooled</t>
  </si>
  <si>
    <t xml:space="preserve">CSM – Rocketlane Project Owner</t>
  </si>
  <si>
    <t xml:space="preserve">Asha Menon</t>
  </si>
  <si>
    <t xml:space="preserve">Gets 4-day overdue escalations</t>
  </si>
  <si>
    <t xml:space="preserve">CS Manager – Rocketlane Project Manager</t>
  </si>
  <si>
    <t xml:space="preserve">Priya</t>
  </si>
  <si>
    <t xml:space="preserve">Gets 1-day overdue escalations</t>
  </si>
  <si>
    <t xml:space="preserve">Onboarding start date</t>
  </si>
  <si>
    <t xml:space="preserve">2026-10-08</t>
  </si>
  <si>
    <t xml:space="preserve">Rocketlane project start</t>
  </si>
  <si>
    <t xml:space="preserve">Target go-live / end date</t>
  </si>
  <si>
    <t xml:space="preserve">2026-11-06</t>
  </si>
  <si>
    <t xml:space="preserve">Start + duration − 1</t>
  </si>
  <si>
    <t xml:space="preserve">Rocketlane project link</t>
  </si>
  <si>
    <t xml:space="preserve">https://novacrm.rocketlane.com/projects/4242</t>
  </si>
  <si>
    <t xml:space="preserve">Created by Agent 1</t>
  </si>
  <si>
    <t xml:space="preserve">Shared Slack channel</t>
  </si>
  <si>
    <t xml:space="preserve">#nova-ent-acme-corp</t>
  </si>
  <si>
    <t xml:space="preserve">Created by Agent 2</t>
  </si>
  <si>
    <t xml:space="preserve">Kickoff call date</t>
  </si>
  <si>
    <t xml:space="preserve">2026-10-10</t>
  </si>
  <si>
    <t xml:space="preserve">Task 13</t>
  </si>
  <si>
    <t xml:space="preserve">Data migration signed off by (customer name, date)</t>
  </si>
  <si>
    <t xml:space="preserve">Jane Doe, 2026-10-22</t>
  </si>
  <si>
    <t xml:space="preserve">Task 19 – required before Go-Live</t>
  </si>
  <si>
    <t xml:space="preserve">Ongoing support owner after handoff</t>
  </si>
  <si>
    <t xml:space="preserve">Support team – EMEA pod</t>
  </si>
  <si>
    <t xml:space="preserve">Task 27</t>
  </si>
  <si>
    <t xml:space="preserve">Onboarding Checklist</t>
  </si>
  <si>
    <t xml:space="preserve">Customer</t>
  </si>
  <si>
    <t xml:space="preserve">Tasks</t>
  </si>
  <si>
    <t xml:space="preserve">Legend: yellow = fill in · grey = calculated · Done by in blue = done automatically by an agent (just verify).</t>
  </si>
  <si>
    <t xml:space="preserve">Done / N/A</t>
  </si>
  <si>
    <t xml:space="preserve">Due date = start date + the tier's day offset. Rows turn red when overdue, amber when Blocked.</t>
  </si>
  <si>
    <t xml:space="preserve">Start date</t>
  </si>
  <si>
    <t xml:space="preserve">% complete</t>
  </si>
  <si>
    <t xml:space="preserve">Target go-live / end</t>
  </si>
  <si>
    <t xml:space="preserve">Overdue</t>
  </si>
  <si>
    <t xml:space="preserve">Blocked</t>
  </si>
  <si>
    <t xml:space="preserve">#</t>
  </si>
  <si>
    <t xml:space="preserve">Phase</t>
  </si>
  <si>
    <t xml:space="preserve">Task</t>
  </si>
  <si>
    <t xml:space="preserve">Details / checklist</t>
  </si>
  <si>
    <t xml:space="preserve">Owner</t>
  </si>
  <si>
    <t xml:space="preserve">Done by</t>
  </si>
  <si>
    <t xml:space="preserve">In Rocketlane template</t>
  </si>
  <si>
    <t xml:space="preserve">Enterprise day</t>
  </si>
  <si>
    <t xml:space="preserve">Growth day</t>
  </si>
  <si>
    <t xml:space="preserve">Due date</t>
  </si>
  <si>
    <t xml:space="preserve">Status</t>
  </si>
  <si>
    <t xml:space="preserve">Completed on</t>
  </si>
  <si>
    <t xml:space="preserve">Link / evidence</t>
  </si>
  <si>
    <t xml:space="preserve">Notes</t>
  </si>
  <si>
    <t xml:space="preserve">0. Intake &amp; Setup</t>
  </si>
  <si>
    <t xml:space="preserve">Receive deal notification email from AE</t>
  </si>
  <si>
    <t xml:space="preserve">Detected in the CS inbox (Gmail → Pub/Sub); closed-deal email validated</t>
  </si>
  <si>
    <t xml:space="preserve">Agent 1</t>
  </si>
  <si>
    <t xml:space="preserve">Agent 1 – Intake (auto)</t>
  </si>
  <si>
    <t xml:space="preserve">No</t>
  </si>
  <si>
    <t xml:space="preserve">Not started</t>
  </si>
  <si>
    <t xml:space="preserve">Validate required deal details</t>
  </si>
  <si>
    <t xml:space="preserve">Customer name · contact email · AE name/email · Salesforce opportunity link. If anything is missing: email the AE and wait – never guess</t>
  </si>
  <si>
    <t xml:space="preserve">Confirm plan tier with the AE by phone</t>
  </si>
  <si>
    <t xml:space="preserve">Ask Enterprise or Growth → read back → AE confirms. Retry up to 3× in AE working hours, then escalate to CS Manager</t>
  </si>
  <si>
    <t xml:space="preserve">Agent 1 / CS Manager</t>
  </si>
  <si>
    <t xml:space="preserve">Complete the Customer Information tab</t>
  </si>
  <si>
    <t xml:space="preserve">Check every pre-filled field; fill any gaps</t>
  </si>
  <si>
    <t xml:space="preserve">CSM</t>
  </si>
  <si>
    <t xml:space="preserve">Manual</t>
  </si>
  <si>
    <t xml:space="preserve">Insert links to Salesforce opportunity and signed Order Form(s)</t>
  </si>
  <si>
    <t xml:space="preserve">Add to Customer Information and the Rocketlane project</t>
  </si>
  <si>
    <t xml:space="preserve">CSM / AE</t>
  </si>
  <si>
    <t xml:space="preserve">Create Rocketlane project from the tier template</t>
  </si>
  <si>
    <t xml:space="preserve">Enterprise 30-day or Growth 14-day template, chosen from the confirmed tier</t>
  </si>
  <si>
    <t xml:space="preserve">Assign Project Owner (CSM) and Project Manager (CS Manager)</t>
  </si>
  <si>
    <t xml:space="preserve">Enterprise: dedicated CSM · Growth: CSM from the pool. Both must be set for overdue escalations to work</t>
  </si>
  <si>
    <t xml:space="preserve">Create shared Slack channel with tier-specific name, topic and welcome message</t>
  </si>
  <si>
    <t xml:space="preserve">Channel name/topic/welcome personalised by tier and customer</t>
  </si>
  <si>
    <t xml:space="preserve">Agent 2</t>
  </si>
  <si>
    <t xml:space="preserve">Agent 2 – Communication (auto)</t>
  </si>
  <si>
    <t xml:space="preserve">Invite customer contact to the Slack channel</t>
  </si>
  <si>
    <t xml:space="preserve">Slack Connect invite sent · confirm the customer joined</t>
  </si>
  <si>
    <t xml:space="preserve">Agent 2 / CSM</t>
  </si>
  <si>
    <t xml:space="preserve">Internal handover call AE → CSM</t>
  </si>
  <si>
    <t xml:space="preserve">Deal context · stakeholders · commitments made in the sales cycle · risks</t>
  </si>
  <si>
    <t xml:space="preserve">Verify the Rocketlane project set-up</t>
  </si>
  <si>
    <t xml:space="preserve">Correct template and dates · owner &amp; manager set · overdue escalation automation active</t>
  </si>
  <si>
    <t xml:space="preserve">CS Manager</t>
  </si>
  <si>
    <t xml:space="preserve">1. Kickoff</t>
  </si>
  <si>
    <t xml:space="preserve">Schedule kickoff call</t>
  </si>
  <si>
    <t xml:space="preserve">Invite customer stakeholders · share agenda</t>
  </si>
  <si>
    <t xml:space="preserve">Yes</t>
  </si>
  <si>
    <t xml:space="preserve">Hold kickoff call  ★ milestone</t>
  </si>
  <si>
    <t xml:space="preserve">Introductions · plan walkthrough · roles · ways of working · record attendees</t>
  </si>
  <si>
    <t xml:space="preserve">Confirm success criteria, stakeholders and go-live date</t>
  </si>
  <si>
    <t xml:space="preserve">3–5 success criteria · customer stakeholders · agreed go-live date · data sources to migrate</t>
  </si>
  <si>
    <t xml:space="preserve">CSM + Customer</t>
  </si>
  <si>
    <t xml:space="preserve">2. Data Migration</t>
  </si>
  <si>
    <t xml:space="preserve">Provide data export</t>
  </si>
  <si>
    <t xml:space="preserve">Contacts, accounts, deals, activities · secure share link · expected record counts</t>
  </si>
  <si>
    <t xml:space="preserve">Field mapping and data cleanup</t>
  </si>
  <si>
    <t xml:space="preserve">Map fields to NovaCRM · flag duplicates/bad data · customer approves the mapping</t>
  </si>
  <si>
    <t xml:space="preserve">Test import in sandbox</t>
  </si>
  <si>
    <t xml:space="preserve">Sample import · check fields, owners, pipeline stages · fix mapping issues</t>
  </si>
  <si>
    <t xml:space="preserve">Production import</t>
  </si>
  <si>
    <t xml:space="preserve">Full import · record imported counts per object · share import summary with customer</t>
  </si>
  <si>
    <t xml:space="preserve">Customer data verification and sign-off  ★ milestone</t>
  </si>
  <si>
    <t xml:space="preserve">Record counts match source · 20-record spot check · owners &amp; stages correct · attachments/notes present · customer confirms in writing. GO-LIVE IS BLOCKED UNTIL THIS IS DONE</t>
  </si>
  <si>
    <t xml:space="preserve">3. Configuration</t>
  </si>
  <si>
    <t xml:space="preserve">Users, roles and permissions</t>
  </si>
  <si>
    <t xml:space="preserve">Create users · assign roles · teams/territories</t>
  </si>
  <si>
    <t xml:space="preserve">Pipelines, custom fields and automations</t>
  </si>
  <si>
    <t xml:space="preserve">Enterprise: custom set-up · Growth: standard set</t>
  </si>
  <si>
    <t xml:space="preserve">Integrations</t>
  </si>
  <si>
    <t xml:space="preserve">Email &amp; calendar sync · Enterprise: other agreed integrations · test each</t>
  </si>
  <si>
    <t xml:space="preserve">Admin and end-user training</t>
  </si>
  <si>
    <t xml:space="preserve">Enterprise: role-based sessions · Growth: one group session · share recordings</t>
  </si>
  <si>
    <t xml:space="preserve">4. Go-Live</t>
  </si>
  <si>
    <t xml:space="preserve">Go-live readiness check and launch  ★ milestone</t>
  </si>
  <si>
    <t xml:space="preserve">Data signed off (task 19) · training done · integrations tested · customer approves go-live</t>
  </si>
  <si>
    <t xml:space="preserve">Hypercare check-ins</t>
  </si>
  <si>
    <t xml:space="preserve">Daily issue check · resolve blockers · confirm adoption (logins, records created)</t>
  </si>
  <si>
    <t xml:space="preserve">5. Handoff &amp; Close</t>
  </si>
  <si>
    <t xml:space="preserve">Write handoff summary  ★ milestone</t>
  </si>
  <si>
    <t xml:space="preserve">Goals &amp; success criteria · configuration · integrations · open issues · key contacts</t>
  </si>
  <si>
    <t xml:space="preserve">Handoff call with Support; move customer to ongoing support</t>
  </si>
  <si>
    <t xml:space="preserve">Introduce support owner · transfer open items · update account status in Salesforce</t>
  </si>
  <si>
    <t xml:space="preserve">CSM + CS Manager</t>
  </si>
  <si>
    <t xml:space="preserve">Send onboarding satisfaction survey</t>
  </si>
  <si>
    <t xml:space="preserve">CSAT / short feedback form to the customer contact</t>
  </si>
  <si>
    <t xml:space="preserve">Close the Rocketlane project</t>
  </si>
  <si>
    <t xml:space="preserve">All tasks done or N/A · project marked complete</t>
  </si>
  <si>
    <t xml:space="preserve">Share the go-live win internally</t>
  </si>
  <si>
    <t xml:space="preserve">Post in the team's wins channel (customer, tier, days to go-live)</t>
  </si>
  <si>
    <t xml:space="preserve">Enterprise vs Growth</t>
  </si>
  <si>
    <t xml:space="preserve">Aspect</t>
  </si>
  <si>
    <t xml:space="preserve">Growth</t>
  </si>
  <si>
    <t xml:space="preserve">Onboarding length</t>
  </si>
  <si>
    <t xml:space="preserve">30 days</t>
  </si>
  <si>
    <t xml:space="preserve">14 days</t>
  </si>
  <si>
    <t xml:space="preserve">Pooled CSM</t>
  </si>
  <si>
    <t xml:space="preserve">Rocketlane template</t>
  </si>
  <si>
    <t xml:space="preserve">NovaCRM Onboarding – Enterprise (30d)</t>
  </si>
  <si>
    <t xml:space="preserve">NovaCRM Onboarding – Growth (14d)</t>
  </si>
  <si>
    <t xml:space="preserve">Slack channel name</t>
  </si>
  <si>
    <t xml:space="preserve">nova-ent-&lt;customer&gt;</t>
  </si>
  <si>
    <t xml:space="preserve">nova-&lt;customer&gt;</t>
  </si>
  <si>
    <t xml:space="preserve">Kickoff</t>
  </si>
  <si>
    <t xml:space="preserve">Kickoff call by day 4</t>
  </si>
  <si>
    <t xml:space="preserve">Kickoff call by day 2</t>
  </si>
  <si>
    <t xml:space="preserve">Data migration</t>
  </si>
  <si>
    <t xml:space="preserve">Full migration incl. activities; sandbox test</t>
  </si>
  <si>
    <t xml:space="preserve">Core objects; sandbox test</t>
  </si>
  <si>
    <t xml:space="preserve">Configuration</t>
  </si>
  <si>
    <t xml:space="preserve">Custom pipelines, fields and automations</t>
  </si>
  <si>
    <t xml:space="preserve">Standard configuration set</t>
  </si>
  <si>
    <t xml:space="preserve">Email/calendar + agreed custom integrations</t>
  </si>
  <si>
    <t xml:space="preserve">Email/calendar sync</t>
  </si>
  <si>
    <t xml:space="preserve">Training</t>
  </si>
  <si>
    <t xml:space="preserve">Role-based sessions (admins, managers, reps)</t>
  </si>
  <si>
    <t xml:space="preserve">One group session + recordings</t>
  </si>
  <si>
    <t xml:space="preserve">Hypercare</t>
  </si>
  <si>
    <t xml:space="preserve">3 days</t>
  </si>
  <si>
    <t xml:space="preserve">2 days</t>
  </si>
  <si>
    <t xml:space="preserve">Data sign-off before go-live</t>
  </si>
  <si>
    <t xml:space="preserve">Required (customer)</t>
  </si>
  <si>
    <t xml:space="preserve">Escalation rules and guardrails</t>
  </si>
  <si>
    <t xml:space="preserve">Rule</t>
  </si>
  <si>
    <t xml:space="preserve">Where</t>
  </si>
  <si>
    <t xml:space="preserve">Trigger</t>
  </si>
  <si>
    <t xml:space="preserve">Action</t>
  </si>
  <si>
    <t xml:space="preserve">Overdue – level 1</t>
  </si>
  <si>
    <t xml:space="preserve">Rocketlane automation (both templates)</t>
  </si>
  <si>
    <t xml:space="preserve">Task overdue by 1 day</t>
  </si>
  <si>
    <t xml:space="preserve">Notify the Project Manager (CS Manager)</t>
  </si>
  <si>
    <t xml:space="preserve">Overdue – level 2</t>
  </si>
  <si>
    <t xml:space="preserve">Task overdue by 4 days</t>
  </si>
  <si>
    <t xml:space="preserve">Notify the Project Owner (CSM)</t>
  </si>
  <si>
    <t xml:space="preserve">Blocked task (assumption – to confirm)</t>
  </si>
  <si>
    <t xml:space="preserve">Process / Rocketlane</t>
  </si>
  <si>
    <t xml:space="preserve">Task status Blocked for more than 3 days</t>
  </si>
  <si>
    <t xml:space="preserve">CSM flags it in Rocketlane; CS Manager reviews blocked tasks daily. Open question to Rocketlane: should blocked-but-not-overdue tasks also escalate?</t>
  </si>
  <si>
    <t xml:space="preserve">Missing deal details</t>
  </si>
  <si>
    <t xml:space="preserve">Required field missing in the AE's email</t>
  </si>
  <si>
    <t xml:space="preserve">Ask the AE for the missing details; no project until complete</t>
  </si>
  <si>
    <t xml:space="preserve">Plan tier not confirmed</t>
  </si>
  <si>
    <t xml:space="preserve">No answer / unclear / no read-back after 3 calls</t>
  </si>
  <si>
    <t xml:space="preserve">Escalate to CS Manager to set the tier manually; never assume a tier</t>
  </si>
  <si>
    <t xml:space="preserve">Data not verified</t>
  </si>
  <si>
    <t xml:space="preserve">Checklist task 19 / Rocketlane dependency</t>
  </si>
  <si>
    <t xml:space="preserve">Go-live attempted before customer data sign-off</t>
  </si>
  <si>
    <t xml:space="preserve">Go-live task is blocked by the dependency on task 19</t>
  </si>
  <si>
    <t xml:space="preserve">Wrong template</t>
  </si>
  <si>
    <t xml:space="preserve">Agent 1 + plan tier config</t>
  </si>
  <si>
    <t xml:space="preserve">Template chosen manually</t>
  </si>
  <si>
    <t xml:space="preserve">Template always comes from the confirmed tier; CS Manager verifies in task 11</t>
  </si>
  <si>
    <t xml:space="preserve">Audit trail</t>
  </si>
  <si>
    <t xml:space="preserve">All agents</t>
  </si>
  <si>
    <t xml:space="preserve">Every agent action</t>
  </si>
  <si>
    <t xml:space="preserve">Logged with timestamp, inputs, outputs and decision rationale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</si>
</sst>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General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4D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0"/>
      <color rgb="FF1F5E8C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FFF7CC"/>
        <bgColor rgb="FFFDF3D6"/>
      </patternFill>
    </fill>
    <fill>
      <patternFill patternType="solid">
        <fgColor rgb="FFEEF2F5"/>
        <bgColor rgb="FFE8EDF0"/>
      </patternFill>
    </fill>
    <fill>
      <patternFill patternType="solid">
        <fgColor rgb="FFE3ECF5"/>
        <bgColor rgb="FFE8EDF0"/>
      </patternFill>
    </fill>
    <fill>
      <patternFill patternType="solid">
        <fgColor rgb="FFE6F2EA"/>
        <bgColor rgb="FFE8EDF0"/>
      </patternFill>
    </fill>
    <fill>
      <patternFill patternType="solid">
        <fgColor rgb="FFFBEBDD"/>
        <bgColor rgb="FFFDF3D6"/>
      </patternFill>
    </fill>
    <fill>
      <patternFill patternType="solid">
        <fgColor rgb="FFEDE7F6"/>
        <bgColor rgb="FFE8EDF0"/>
      </patternFill>
    </fill>
    <fill>
      <patternFill patternType="solid">
        <fgColor rgb="FFFDF3D6"/>
        <bgColor rgb="FFFFF7CC"/>
      </patternFill>
    </fill>
    <fill>
      <patternFill patternType="solid">
        <fgColor rgb="FFE8EDF0"/>
        <bgColor rgb="FFE3EC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B"/>
      </left>
      <right style="thin">
        <color rgb="FFC9D3DB"/>
      </right>
      <top style="thin">
        <color rgb="FFC9D3DB"/>
      </top>
      <bottom style="thin">
        <color rgb="FFC9D3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A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ECF5"/>
          <bgColor rgb="FF000000"/>
        </patternFill>
      </fill>
    </dxf>
    <dxf>
      <fill>
        <patternFill patternType="solid">
          <fgColor rgb="FFE6F2EA"/>
          <bgColor rgb="FF000000"/>
        </patternFill>
      </fill>
    </dxf>
    <dxf>
      <fill>
        <patternFill patternType="solid">
          <fgColor rgb="FFE8EDF0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BEBDD"/>
          <bgColor rgb="FF000000"/>
        </patternFill>
      </fill>
    </dxf>
    <dxf>
      <fill>
        <patternFill patternType="solid">
          <fgColor rgb="FFFDF3D6"/>
          <bgColor rgb="FF000000"/>
        </patternFill>
      </fill>
    </dxf>
    <dxf>
      <fill>
        <patternFill patternType="solid">
          <fgColor rgb="FF1F5E8C"/>
          <bgColor rgb="FF000000"/>
        </patternFill>
      </fill>
    </dxf>
    <dxf>
      <fill>
        <patternFill patternType="solid">
          <fgColor rgb="FFEEF2F5"/>
          <bgColor rgb="FF000000"/>
        </patternFill>
      </fill>
    </dxf>
    <dxf>
      <fill>
        <patternFill patternType="solid">
          <fgColor rgb="FFFFF7CC"/>
          <bgColor rgb="FF000000"/>
        </patternFill>
      </fill>
    </dxf>
    <dxf>
      <fill>
        <patternFill>
          <bgColor rgb="FFDDF0E1"/>
        </patternFill>
      </fill>
    </dxf>
    <dxf>
      <fill>
        <patternFill>
          <bgColor rgb="FFFCE7C3"/>
        </patternFill>
      </fill>
    </dxf>
    <dxf>
      <fill>
        <patternFill>
          <bgColor rgb="FFF8D7D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EF2F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DE7F6"/>
      <rgbColor rgb="FF808080"/>
      <rgbColor rgb="FF9999FF"/>
      <rgbColor rgb="FF993366"/>
      <rgbColor rgb="FFFFF7CC"/>
      <rgbColor rgb="FFE6F2EA"/>
      <rgbColor rgb="FF660066"/>
      <rgbColor rgb="FFFF8080"/>
      <rgbColor rgb="FF1F5E8C"/>
      <rgbColor rgb="FFC9D3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CF5"/>
      <rgbColor rgb="FFDDF0E1"/>
      <rgbColor rgb="FFFDF3D6"/>
      <rgbColor rgb="FFE8EDF0"/>
      <rgbColor rgb="FFFCE7C3"/>
      <rgbColor rgb="FFFBEBDD"/>
      <rgbColor rgb="FFF8D7D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42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/>
      <c r="C5" s="6" t="s">
        <v>7</v>
      </c>
      <c r="D5" s="7" t="s">
        <v>8</v>
      </c>
    </row>
    <row r="6" customFormat="false" ht="15" hidden="false" customHeight="false" outlineLevel="0" collapsed="false">
      <c r="A6" s="4" t="s">
        <v>9</v>
      </c>
      <c r="B6" s="5"/>
      <c r="C6" s="6" t="s">
        <v>10</v>
      </c>
      <c r="D6" s="7" t="s">
        <v>8</v>
      </c>
    </row>
    <row r="7" customFormat="false" ht="15" hidden="false" customHeight="false" outlineLevel="0" collapsed="false">
      <c r="A7" s="4" t="s">
        <v>11</v>
      </c>
      <c r="B7" s="5"/>
      <c r="C7" s="6" t="s">
        <v>12</v>
      </c>
      <c r="D7" s="7" t="s">
        <v>13</v>
      </c>
    </row>
    <row r="8" customFormat="false" ht="15" hidden="false" customHeight="false" outlineLevel="0" collapsed="false">
      <c r="A8" s="4" t="s">
        <v>14</v>
      </c>
      <c r="B8" s="5"/>
      <c r="C8" s="6" t="s">
        <v>15</v>
      </c>
      <c r="D8" s="7" t="s">
        <v>8</v>
      </c>
    </row>
    <row r="9" customFormat="false" ht="15" hidden="false" customHeight="false" outlineLevel="0" collapsed="false">
      <c r="A9" s="4" t="s">
        <v>16</v>
      </c>
      <c r="B9" s="5"/>
      <c r="C9" s="6" t="s">
        <v>17</v>
      </c>
      <c r="D9" s="7" t="s">
        <v>18</v>
      </c>
    </row>
    <row r="10" customFormat="false" ht="15" hidden="false" customHeight="false" outlineLevel="0" collapsed="false">
      <c r="A10" s="4" t="s">
        <v>19</v>
      </c>
      <c r="B10" s="5"/>
      <c r="C10" s="6" t="s">
        <v>20</v>
      </c>
      <c r="D10" s="7" t="s">
        <v>21</v>
      </c>
    </row>
    <row r="11" customFormat="false" ht="22.35" hidden="false" customHeight="false" outlineLevel="0" collapsed="false">
      <c r="A11" s="4" t="s">
        <v>22</v>
      </c>
      <c r="B11" s="5"/>
      <c r="C11" s="6" t="s">
        <v>23</v>
      </c>
      <c r="D11" s="7" t="s">
        <v>24</v>
      </c>
    </row>
    <row r="12" customFormat="false" ht="15" hidden="false" customHeight="false" outlineLevel="0" collapsed="false">
      <c r="A12" s="4" t="s">
        <v>25</v>
      </c>
      <c r="B12" s="5"/>
      <c r="C12" s="6" t="s">
        <v>26</v>
      </c>
      <c r="D12" s="7" t="s">
        <v>27</v>
      </c>
    </row>
    <row r="13" customFormat="false" ht="15" hidden="false" customHeight="false" outlineLevel="0" collapsed="false">
      <c r="A13" s="4" t="s">
        <v>28</v>
      </c>
      <c r="B13" s="5"/>
      <c r="C13" s="6" t="s">
        <v>29</v>
      </c>
      <c r="D13" s="7" t="s">
        <v>30</v>
      </c>
    </row>
    <row r="14" customFormat="false" ht="15" hidden="false" customHeight="false" outlineLevel="0" collapsed="false">
      <c r="A14" s="4" t="s">
        <v>31</v>
      </c>
      <c r="B14" s="5"/>
      <c r="C14" s="6" t="s">
        <v>32</v>
      </c>
      <c r="D14" s="7" t="s">
        <v>33</v>
      </c>
    </row>
    <row r="15" customFormat="false" ht="15" hidden="false" customHeight="false" outlineLevel="0" collapsed="false">
      <c r="A15" s="4" t="s">
        <v>34</v>
      </c>
      <c r="B15" s="8"/>
      <c r="C15" s="6" t="s">
        <v>35</v>
      </c>
      <c r="D15" s="7" t="s">
        <v>36</v>
      </c>
    </row>
    <row r="16" customFormat="false" ht="15" hidden="false" customHeight="false" outlineLevel="0" collapsed="false">
      <c r="A16" s="4" t="s">
        <v>37</v>
      </c>
      <c r="B16" s="9" t="str">
        <f aca="false">IF($B$13="Enterprise",30,IF($B$13="Growth",14,""))</f>
        <v/>
      </c>
      <c r="C16" s="6" t="n">
        <v>30</v>
      </c>
      <c r="D16" s="7" t="s">
        <v>38</v>
      </c>
    </row>
    <row r="17" customFormat="false" ht="15" hidden="false" customHeight="false" outlineLevel="0" collapsed="false">
      <c r="A17" s="4" t="s">
        <v>39</v>
      </c>
      <c r="B17" s="9" t="str">
        <f aca="false">IF($B$13="Enterprise","Dedicated CSM",IF($B$13="Growth","Pooled CSM",""))</f>
        <v/>
      </c>
      <c r="C17" s="6" t="s">
        <v>40</v>
      </c>
      <c r="D17" s="7" t="s">
        <v>41</v>
      </c>
    </row>
    <row r="18" customFormat="false" ht="15" hidden="false" customHeight="false" outlineLevel="0" collapsed="false">
      <c r="A18" s="4" t="s">
        <v>42</v>
      </c>
      <c r="B18" s="5"/>
      <c r="C18" s="6" t="s">
        <v>43</v>
      </c>
      <c r="D18" s="7" t="s">
        <v>44</v>
      </c>
    </row>
    <row r="19" customFormat="false" ht="15" hidden="false" customHeight="false" outlineLevel="0" collapsed="false">
      <c r="A19" s="4" t="s">
        <v>45</v>
      </c>
      <c r="B19" s="5"/>
      <c r="C19" s="6" t="s">
        <v>46</v>
      </c>
      <c r="D19" s="7" t="s">
        <v>47</v>
      </c>
    </row>
    <row r="20" customFormat="false" ht="15" hidden="false" customHeight="false" outlineLevel="0" collapsed="false">
      <c r="A20" s="4" t="s">
        <v>48</v>
      </c>
      <c r="B20" s="8"/>
      <c r="C20" s="6" t="s">
        <v>49</v>
      </c>
      <c r="D20" s="7" t="s">
        <v>50</v>
      </c>
    </row>
    <row r="21" customFormat="false" ht="15" hidden="false" customHeight="false" outlineLevel="0" collapsed="false">
      <c r="A21" s="4" t="s">
        <v>51</v>
      </c>
      <c r="B21" s="10" t="str">
        <f aca="false">IF(OR($B$20="",$B$16=""),"",$B$20+$B$16-1)</f>
        <v/>
      </c>
      <c r="C21" s="6" t="s">
        <v>52</v>
      </c>
      <c r="D21" s="7" t="s">
        <v>53</v>
      </c>
    </row>
    <row r="22" customFormat="false" ht="15" hidden="false" customHeight="false" outlineLevel="0" collapsed="false">
      <c r="A22" s="4" t="s">
        <v>54</v>
      </c>
      <c r="B22" s="5"/>
      <c r="C22" s="6" t="s">
        <v>55</v>
      </c>
      <c r="D22" s="7" t="s">
        <v>56</v>
      </c>
    </row>
    <row r="23" customFormat="false" ht="15" hidden="false" customHeight="false" outlineLevel="0" collapsed="false">
      <c r="A23" s="4" t="s">
        <v>57</v>
      </c>
      <c r="B23" s="5"/>
      <c r="C23" s="6" t="s">
        <v>58</v>
      </c>
      <c r="D23" s="7" t="s">
        <v>59</v>
      </c>
    </row>
    <row r="24" customFormat="false" ht="15" hidden="false" customHeight="false" outlineLevel="0" collapsed="false">
      <c r="A24" s="4" t="s">
        <v>60</v>
      </c>
      <c r="B24" s="8"/>
      <c r="C24" s="6" t="s">
        <v>61</v>
      </c>
      <c r="D24" s="7" t="s">
        <v>62</v>
      </c>
    </row>
    <row r="25" customFormat="false" ht="23.85" hidden="false" customHeight="false" outlineLevel="0" collapsed="false">
      <c r="A25" s="4" t="s">
        <v>63</v>
      </c>
      <c r="B25" s="5"/>
      <c r="C25" s="6" t="s">
        <v>64</v>
      </c>
      <c r="D25" s="7" t="s">
        <v>65</v>
      </c>
    </row>
    <row r="26" customFormat="false" ht="15" hidden="false" customHeight="false" outlineLevel="0" collapsed="false">
      <c r="A26" s="4" t="s">
        <v>66</v>
      </c>
      <c r="B26" s="5"/>
      <c r="C26" s="6" t="s">
        <v>67</v>
      </c>
      <c r="D26" s="7" t="s">
        <v>68</v>
      </c>
    </row>
  </sheetData>
  <mergeCells count="1">
    <mergeCell ref="A2:D2"/>
  </mergeCells>
  <dataValidations count="2">
    <dataValidation allowBlank="true" errorStyle="stop" operator="between" showDropDown="false" showErrorMessage="false" showInputMessage="false" sqref="B13" type="list">
      <formula1>"Enterprise,Growth"</formula1>
      <formula2>0</formula2>
    </dataValidation>
    <dataValidation allowBlank="true" errorStyle="stop" operator="between" showDropDown="false" showErrorMessage="false" showInputMessage="false" sqref="B14" type="list">
      <formula1>"Voice call,Manual"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2" min="11" style="0" width="13"/>
    <col collapsed="false" customWidth="true" hidden="false" outlineLevel="0" max="14" min="13" style="0" width="30"/>
  </cols>
  <sheetData>
    <row r="1" customFormat="false" ht="17.35" hidden="false" customHeight="false" outlineLevel="0" collapsed="false">
      <c r="A1" s="1" t="s">
        <v>69</v>
      </c>
    </row>
    <row r="2" customFormat="false" ht="15" hidden="false" customHeight="false" outlineLevel="0" collapsed="false">
      <c r="A2" s="11" t="s">
        <v>70</v>
      </c>
      <c r="C2" s="12" t="n">
        <f aca="false">'Customer Information'!B5</f>
        <v>0</v>
      </c>
      <c r="E2" s="11" t="s">
        <v>71</v>
      </c>
      <c r="F2" s="12" t="n">
        <f aca="false">COUNTA(C9:C38)</f>
        <v>30</v>
      </c>
      <c r="H2" s="13" t="s">
        <v>72</v>
      </c>
    </row>
    <row r="3" customFormat="false" ht="15" hidden="false" customHeight="false" outlineLevel="0" collapsed="false">
      <c r="A3" s="11" t="s">
        <v>28</v>
      </c>
      <c r="C3" s="12" t="n">
        <f aca="false">'Customer Information'!B13</f>
        <v>0</v>
      </c>
      <c r="E3" s="11" t="s">
        <v>73</v>
      </c>
      <c r="F3" s="12" t="n">
        <f aca="false">COUNTIF(K9:K38,"Done")+COUNTIF(K9:K38,"N/A")</f>
        <v>0</v>
      </c>
      <c r="H3" s="13" t="s">
        <v>74</v>
      </c>
    </row>
    <row r="4" customFormat="false" ht="15" hidden="false" customHeight="false" outlineLevel="0" collapsed="false">
      <c r="A4" s="11" t="s">
        <v>75</v>
      </c>
      <c r="C4" s="14" t="n">
        <f aca="false">'Customer Information'!B20</f>
        <v>0</v>
      </c>
      <c r="E4" s="11" t="s">
        <v>76</v>
      </c>
      <c r="F4" s="15" t="n">
        <f aca="false">IF(F2=0,0,F3/F2)</f>
        <v>0</v>
      </c>
    </row>
    <row r="5" customFormat="false" ht="15" hidden="false" customHeight="false" outlineLevel="0" collapsed="false">
      <c r="A5" s="11" t="s">
        <v>77</v>
      </c>
      <c r="C5" s="14" t="str">
        <f aca="false">'Customer Information'!B21</f>
        <v/>
      </c>
      <c r="E5" s="11" t="s">
        <v>78</v>
      </c>
      <c r="F5" s="12" t="n">
        <f aca="true">SUMPRODUCT((J9:J38&lt;&gt;"")*(J9:J38&lt;TODAY())*(K9:K38&lt;&gt;"Done")*(K9:K38&lt;&gt;"N/A"))</f>
        <v>0</v>
      </c>
    </row>
    <row r="6" customFormat="false" ht="15" hidden="false" customHeight="false" outlineLevel="0" collapsed="false">
      <c r="E6" s="11" t="s">
        <v>79</v>
      </c>
      <c r="F6" s="12" t="n">
        <f aca="false">COUNTIF(K9:K38,"Blocked")</f>
        <v>0</v>
      </c>
    </row>
    <row r="8" customFormat="false" ht="46.25" hidden="false" customHeight="false" outlineLevel="0" collapsed="false">
      <c r="A8" s="16" t="s">
        <v>80</v>
      </c>
      <c r="B8" s="16" t="s">
        <v>81</v>
      </c>
      <c r="C8" s="16" t="s">
        <v>82</v>
      </c>
      <c r="D8" s="16" t="s">
        <v>83</v>
      </c>
      <c r="E8" s="16" t="s">
        <v>84</v>
      </c>
      <c r="F8" s="16" t="s">
        <v>85</v>
      </c>
      <c r="G8" s="16" t="s">
        <v>86</v>
      </c>
      <c r="H8" s="16" t="s">
        <v>87</v>
      </c>
      <c r="I8" s="16" t="s">
        <v>88</v>
      </c>
      <c r="J8" s="16" t="s">
        <v>89</v>
      </c>
      <c r="K8" s="16" t="s">
        <v>90</v>
      </c>
      <c r="L8" s="16" t="s">
        <v>91</v>
      </c>
      <c r="M8" s="16" t="s">
        <v>92</v>
      </c>
      <c r="N8" s="16" t="s">
        <v>93</v>
      </c>
    </row>
    <row r="9" customFormat="false" ht="23.85" hidden="false" customHeight="false" outlineLevel="0" collapsed="false">
      <c r="A9" s="7" t="n">
        <v>1</v>
      </c>
      <c r="B9" s="17" t="s">
        <v>94</v>
      </c>
      <c r="C9" s="7" t="s">
        <v>95</v>
      </c>
      <c r="D9" s="7" t="s">
        <v>96</v>
      </c>
      <c r="E9" s="7" t="s">
        <v>97</v>
      </c>
      <c r="F9" s="18" t="s">
        <v>98</v>
      </c>
      <c r="G9" s="7" t="s">
        <v>99</v>
      </c>
      <c r="H9" s="7" t="n">
        <v>0</v>
      </c>
      <c r="I9" s="7" t="n">
        <v>0</v>
      </c>
      <c r="J9" s="10" t="str">
        <f aca="false">IF(OR('Customer Information'!$B$20="",'Customer Information'!$B$13=""),"",'Customer Information'!$B$20+IF('Customer Information'!$B$13="Enterprise",H9,I9)-IF(IF('Customer Information'!$B$13="Enterprise",H9,I9)=0,0,1))</f>
        <v/>
      </c>
      <c r="K9" s="5" t="s">
        <v>100</v>
      </c>
      <c r="L9" s="8"/>
      <c r="M9" s="5"/>
      <c r="N9" s="5"/>
    </row>
    <row r="10" customFormat="false" ht="35.05" hidden="false" customHeight="false" outlineLevel="0" collapsed="false">
      <c r="A10" s="7" t="n">
        <v>2</v>
      </c>
      <c r="B10" s="17" t="s">
        <v>94</v>
      </c>
      <c r="C10" s="7" t="s">
        <v>101</v>
      </c>
      <c r="D10" s="7" t="s">
        <v>102</v>
      </c>
      <c r="E10" s="7" t="s">
        <v>97</v>
      </c>
      <c r="F10" s="18" t="s">
        <v>98</v>
      </c>
      <c r="G10" s="7" t="s">
        <v>99</v>
      </c>
      <c r="H10" s="7" t="n">
        <v>0</v>
      </c>
      <c r="I10" s="7" t="n">
        <v>0</v>
      </c>
      <c r="J10" s="10" t="str">
        <f aca="false">IF(OR('Customer Information'!$B$20="",'Customer Information'!$B$13=""),"",'Customer Information'!$B$20+IF('Customer Information'!$B$13="Enterprise",H10,I10)-IF(IF('Customer Information'!$B$13="Enterprise",H10,I10)=0,0,1))</f>
        <v/>
      </c>
      <c r="K10" s="5" t="s">
        <v>100</v>
      </c>
      <c r="L10" s="8"/>
      <c r="M10" s="5"/>
      <c r="N10" s="5"/>
    </row>
    <row r="11" customFormat="false" ht="23.85" hidden="false" customHeight="false" outlineLevel="0" collapsed="false">
      <c r="A11" s="7" t="n">
        <v>3</v>
      </c>
      <c r="B11" s="17" t="s">
        <v>94</v>
      </c>
      <c r="C11" s="7" t="s">
        <v>103</v>
      </c>
      <c r="D11" s="7" t="s">
        <v>104</v>
      </c>
      <c r="E11" s="7" t="s">
        <v>105</v>
      </c>
      <c r="F11" s="18" t="s">
        <v>98</v>
      </c>
      <c r="G11" s="7" t="s">
        <v>99</v>
      </c>
      <c r="H11" s="7" t="n">
        <v>0</v>
      </c>
      <c r="I11" s="7" t="n">
        <v>0</v>
      </c>
      <c r="J11" s="10" t="str">
        <f aca="false">IF(OR('Customer Information'!$B$20="",'Customer Information'!$B$13=""),"",'Customer Information'!$B$20+IF('Customer Information'!$B$13="Enterprise",H11,I11)-IF(IF('Customer Information'!$B$13="Enterprise",H11,I11)=0,0,1))</f>
        <v/>
      </c>
      <c r="K11" s="5" t="s">
        <v>100</v>
      </c>
      <c r="L11" s="8"/>
      <c r="M11" s="5"/>
      <c r="N11" s="5"/>
    </row>
    <row r="12" customFormat="false" ht="15" hidden="false" customHeight="false" outlineLevel="0" collapsed="false">
      <c r="A12" s="7" t="n">
        <v>4</v>
      </c>
      <c r="B12" s="17" t="s">
        <v>94</v>
      </c>
      <c r="C12" s="7" t="s">
        <v>106</v>
      </c>
      <c r="D12" s="7" t="s">
        <v>107</v>
      </c>
      <c r="E12" s="7" t="s">
        <v>108</v>
      </c>
      <c r="F12" s="7" t="s">
        <v>109</v>
      </c>
      <c r="G12" s="7" t="s">
        <v>99</v>
      </c>
      <c r="H12" s="7" t="n">
        <v>1</v>
      </c>
      <c r="I12" s="7" t="n">
        <v>1</v>
      </c>
      <c r="J12" s="10" t="str">
        <f aca="false">IF(OR('Customer Information'!$B$20="",'Customer Information'!$B$13=""),"",'Customer Information'!$B$20+IF('Customer Information'!$B$13="Enterprise",H12,I12)-IF(IF('Customer Information'!$B$13="Enterprise",H12,I12)=0,0,1))</f>
        <v/>
      </c>
      <c r="K12" s="5" t="s">
        <v>100</v>
      </c>
      <c r="L12" s="8"/>
      <c r="M12" s="5"/>
      <c r="N12" s="5"/>
    </row>
    <row r="13" customFormat="false" ht="23.85" hidden="false" customHeight="false" outlineLevel="0" collapsed="false">
      <c r="A13" s="7" t="n">
        <v>5</v>
      </c>
      <c r="B13" s="17" t="s">
        <v>94</v>
      </c>
      <c r="C13" s="7" t="s">
        <v>110</v>
      </c>
      <c r="D13" s="7" t="s">
        <v>111</v>
      </c>
      <c r="E13" s="7" t="s">
        <v>112</v>
      </c>
      <c r="F13" s="7" t="s">
        <v>109</v>
      </c>
      <c r="G13" s="7" t="s">
        <v>99</v>
      </c>
      <c r="H13" s="7" t="n">
        <v>1</v>
      </c>
      <c r="I13" s="7" t="n">
        <v>1</v>
      </c>
      <c r="J13" s="10" t="str">
        <f aca="false">IF(OR('Customer Information'!$B$20="",'Customer Information'!$B$13=""),"",'Customer Information'!$B$20+IF('Customer Information'!$B$13="Enterprise",H13,I13)-IF(IF('Customer Information'!$B$13="Enterprise",H13,I13)=0,0,1))</f>
        <v/>
      </c>
      <c r="K13" s="5" t="s">
        <v>100</v>
      </c>
      <c r="L13" s="8"/>
      <c r="M13" s="5"/>
      <c r="N13" s="5"/>
    </row>
    <row r="14" customFormat="false" ht="23.85" hidden="false" customHeight="false" outlineLevel="0" collapsed="false">
      <c r="A14" s="7" t="n">
        <v>6</v>
      </c>
      <c r="B14" s="17" t="s">
        <v>94</v>
      </c>
      <c r="C14" s="7" t="s">
        <v>113</v>
      </c>
      <c r="D14" s="7" t="s">
        <v>114</v>
      </c>
      <c r="E14" s="7" t="s">
        <v>97</v>
      </c>
      <c r="F14" s="18" t="s">
        <v>98</v>
      </c>
      <c r="G14" s="7" t="s">
        <v>99</v>
      </c>
      <c r="H14" s="7" t="n">
        <v>0</v>
      </c>
      <c r="I14" s="7" t="n">
        <v>0</v>
      </c>
      <c r="J14" s="10" t="str">
        <f aca="false">IF(OR('Customer Information'!$B$20="",'Customer Information'!$B$13=""),"",'Customer Information'!$B$20+IF('Customer Information'!$B$13="Enterprise",H14,I14)-IF(IF('Customer Information'!$B$13="Enterprise",H14,I14)=0,0,1))</f>
        <v/>
      </c>
      <c r="K14" s="5" t="s">
        <v>100</v>
      </c>
      <c r="L14" s="8"/>
      <c r="M14" s="5"/>
      <c r="N14" s="5"/>
    </row>
    <row r="15" customFormat="false" ht="23.85" hidden="false" customHeight="false" outlineLevel="0" collapsed="false">
      <c r="A15" s="7" t="n">
        <v>7</v>
      </c>
      <c r="B15" s="17" t="s">
        <v>94</v>
      </c>
      <c r="C15" s="7" t="s">
        <v>115</v>
      </c>
      <c r="D15" s="7" t="s">
        <v>116</v>
      </c>
      <c r="E15" s="7" t="s">
        <v>97</v>
      </c>
      <c r="F15" s="18" t="s">
        <v>98</v>
      </c>
      <c r="G15" s="7" t="s">
        <v>99</v>
      </c>
      <c r="H15" s="7" t="n">
        <v>0</v>
      </c>
      <c r="I15" s="7" t="n">
        <v>0</v>
      </c>
      <c r="J15" s="10" t="str">
        <f aca="false">IF(OR('Customer Information'!$B$20="",'Customer Information'!$B$13=""),"",'Customer Information'!$B$20+IF('Customer Information'!$B$13="Enterprise",H15,I15)-IF(IF('Customer Information'!$B$13="Enterprise",H15,I15)=0,0,1))</f>
        <v/>
      </c>
      <c r="K15" s="5" t="s">
        <v>100</v>
      </c>
      <c r="L15" s="8"/>
      <c r="M15" s="5"/>
      <c r="N15" s="5"/>
    </row>
    <row r="16" customFormat="false" ht="23.85" hidden="false" customHeight="false" outlineLevel="0" collapsed="false">
      <c r="A16" s="7" t="n">
        <v>8</v>
      </c>
      <c r="B16" s="17" t="s">
        <v>94</v>
      </c>
      <c r="C16" s="7" t="s">
        <v>117</v>
      </c>
      <c r="D16" s="7" t="s">
        <v>118</v>
      </c>
      <c r="E16" s="7" t="s">
        <v>119</v>
      </c>
      <c r="F16" s="18" t="s">
        <v>120</v>
      </c>
      <c r="G16" s="7" t="s">
        <v>99</v>
      </c>
      <c r="H16" s="7" t="n">
        <v>0</v>
      </c>
      <c r="I16" s="7" t="n">
        <v>0</v>
      </c>
      <c r="J16" s="10" t="str">
        <f aca="false">IF(OR('Customer Information'!$B$20="",'Customer Information'!$B$13=""),"",'Customer Information'!$B$20+IF('Customer Information'!$B$13="Enterprise",H16,I16)-IF(IF('Customer Information'!$B$13="Enterprise",H16,I16)=0,0,1))</f>
        <v/>
      </c>
      <c r="K16" s="5" t="s">
        <v>100</v>
      </c>
      <c r="L16" s="8"/>
      <c r="M16" s="5"/>
      <c r="N16" s="5"/>
    </row>
    <row r="17" customFormat="false" ht="23.85" hidden="false" customHeight="false" outlineLevel="0" collapsed="false">
      <c r="A17" s="7" t="n">
        <v>9</v>
      </c>
      <c r="B17" s="17" t="s">
        <v>94</v>
      </c>
      <c r="C17" s="7" t="s">
        <v>121</v>
      </c>
      <c r="D17" s="7" t="s">
        <v>122</v>
      </c>
      <c r="E17" s="7" t="s">
        <v>123</v>
      </c>
      <c r="F17" s="18" t="s">
        <v>120</v>
      </c>
      <c r="G17" s="7" t="s">
        <v>99</v>
      </c>
      <c r="H17" s="7" t="n">
        <v>1</v>
      </c>
      <c r="I17" s="7" t="n">
        <v>1</v>
      </c>
      <c r="J17" s="10" t="str">
        <f aca="false">IF(OR('Customer Information'!$B$20="",'Customer Information'!$B$13=""),"",'Customer Information'!$B$20+IF('Customer Information'!$B$13="Enterprise",H17,I17)-IF(IF('Customer Information'!$B$13="Enterprise",H17,I17)=0,0,1))</f>
        <v/>
      </c>
      <c r="K17" s="5" t="s">
        <v>100</v>
      </c>
      <c r="L17" s="8"/>
      <c r="M17" s="5"/>
      <c r="N17" s="5"/>
    </row>
    <row r="18" customFormat="false" ht="23.85" hidden="false" customHeight="false" outlineLevel="0" collapsed="false">
      <c r="A18" s="7" t="n">
        <v>10</v>
      </c>
      <c r="B18" s="17" t="s">
        <v>94</v>
      </c>
      <c r="C18" s="7" t="s">
        <v>124</v>
      </c>
      <c r="D18" s="7" t="s">
        <v>125</v>
      </c>
      <c r="E18" s="7" t="s">
        <v>108</v>
      </c>
      <c r="F18" s="7" t="s">
        <v>109</v>
      </c>
      <c r="G18" s="7" t="s">
        <v>99</v>
      </c>
      <c r="H18" s="7" t="n">
        <v>2</v>
      </c>
      <c r="I18" s="7" t="n">
        <v>1</v>
      </c>
      <c r="J18" s="10" t="str">
        <f aca="false">IF(OR('Customer Information'!$B$20="",'Customer Information'!$B$13=""),"",'Customer Information'!$B$20+IF('Customer Information'!$B$13="Enterprise",H18,I18)-IF(IF('Customer Information'!$B$13="Enterprise",H18,I18)=0,0,1))</f>
        <v/>
      </c>
      <c r="K18" s="5" t="s">
        <v>100</v>
      </c>
      <c r="L18" s="8"/>
      <c r="M18" s="5"/>
      <c r="N18" s="5"/>
    </row>
    <row r="19" customFormat="false" ht="23.85" hidden="false" customHeight="false" outlineLevel="0" collapsed="false">
      <c r="A19" s="7" t="n">
        <v>11</v>
      </c>
      <c r="B19" s="17" t="s">
        <v>94</v>
      </c>
      <c r="C19" s="7" t="s">
        <v>126</v>
      </c>
      <c r="D19" s="7" t="s">
        <v>127</v>
      </c>
      <c r="E19" s="7" t="s">
        <v>128</v>
      </c>
      <c r="F19" s="7" t="s">
        <v>109</v>
      </c>
      <c r="G19" s="7" t="s">
        <v>99</v>
      </c>
      <c r="H19" s="7" t="n">
        <v>2</v>
      </c>
      <c r="I19" s="7" t="n">
        <v>1</v>
      </c>
      <c r="J19" s="10" t="str">
        <f aca="false">IF(OR('Customer Information'!$B$20="",'Customer Information'!$B$13=""),"",'Customer Information'!$B$20+IF('Customer Information'!$B$13="Enterprise",H19,I19)-IF(IF('Customer Information'!$B$13="Enterprise",H19,I19)=0,0,1))</f>
        <v/>
      </c>
      <c r="K19" s="5" t="s">
        <v>100</v>
      </c>
      <c r="L19" s="8"/>
      <c r="M19" s="5"/>
      <c r="N19" s="5"/>
    </row>
    <row r="20" customFormat="false" ht="15" hidden="false" customHeight="false" outlineLevel="0" collapsed="false">
      <c r="A20" s="7" t="n">
        <v>12</v>
      </c>
      <c r="B20" s="19" t="s">
        <v>129</v>
      </c>
      <c r="C20" s="7" t="s">
        <v>130</v>
      </c>
      <c r="D20" s="7" t="s">
        <v>131</v>
      </c>
      <c r="E20" s="7" t="s">
        <v>108</v>
      </c>
      <c r="F20" s="7" t="s">
        <v>109</v>
      </c>
      <c r="G20" s="7" t="s">
        <v>132</v>
      </c>
      <c r="H20" s="7" t="n">
        <v>3</v>
      </c>
      <c r="I20" s="7" t="n">
        <v>2</v>
      </c>
      <c r="J20" s="10" t="str">
        <f aca="false">IF(OR('Customer Information'!$B$20="",'Customer Information'!$B$13=""),"",'Customer Information'!$B$20+IF('Customer Information'!$B$13="Enterprise",H20,I20)-IF(IF('Customer Information'!$B$13="Enterprise",H20,I20)=0,0,1))</f>
        <v/>
      </c>
      <c r="K20" s="5" t="s">
        <v>100</v>
      </c>
      <c r="L20" s="8"/>
      <c r="M20" s="5"/>
      <c r="N20" s="5"/>
    </row>
    <row r="21" customFormat="false" ht="23.85" hidden="false" customHeight="false" outlineLevel="0" collapsed="false">
      <c r="A21" s="7" t="n">
        <v>13</v>
      </c>
      <c r="B21" s="19" t="s">
        <v>129</v>
      </c>
      <c r="C21" s="7" t="s">
        <v>133</v>
      </c>
      <c r="D21" s="7" t="s">
        <v>134</v>
      </c>
      <c r="E21" s="7" t="s">
        <v>108</v>
      </c>
      <c r="F21" s="7" t="s">
        <v>109</v>
      </c>
      <c r="G21" s="7" t="s">
        <v>132</v>
      </c>
      <c r="H21" s="7" t="n">
        <v>4</v>
      </c>
      <c r="I21" s="7" t="n">
        <v>2</v>
      </c>
      <c r="J21" s="10" t="str">
        <f aca="false">IF(OR('Customer Information'!$B$20="",'Customer Information'!$B$13=""),"",'Customer Information'!$B$20+IF('Customer Information'!$B$13="Enterprise",H21,I21)-IF(IF('Customer Information'!$B$13="Enterprise",H21,I21)=0,0,1))</f>
        <v/>
      </c>
      <c r="K21" s="5" t="s">
        <v>100</v>
      </c>
      <c r="L21" s="8"/>
      <c r="M21" s="5"/>
      <c r="N21" s="5"/>
    </row>
    <row r="22" customFormat="false" ht="23.85" hidden="false" customHeight="false" outlineLevel="0" collapsed="false">
      <c r="A22" s="7" t="n">
        <v>14</v>
      </c>
      <c r="B22" s="19" t="s">
        <v>129</v>
      </c>
      <c r="C22" s="7" t="s">
        <v>135</v>
      </c>
      <c r="D22" s="7" t="s">
        <v>136</v>
      </c>
      <c r="E22" s="7" t="s">
        <v>137</v>
      </c>
      <c r="F22" s="7" t="s">
        <v>109</v>
      </c>
      <c r="G22" s="7" t="s">
        <v>132</v>
      </c>
      <c r="H22" s="7" t="n">
        <v>5</v>
      </c>
      <c r="I22" s="7" t="n">
        <v>3</v>
      </c>
      <c r="J22" s="10" t="str">
        <f aca="false">IF(OR('Customer Information'!$B$20="",'Customer Information'!$B$13=""),"",'Customer Information'!$B$20+IF('Customer Information'!$B$13="Enterprise",H22,I22)-IF(IF('Customer Information'!$B$13="Enterprise",H22,I22)=0,0,1))</f>
        <v/>
      </c>
      <c r="K22" s="5" t="s">
        <v>100</v>
      </c>
      <c r="L22" s="8"/>
      <c r="M22" s="5"/>
      <c r="N22" s="5"/>
    </row>
    <row r="23" customFormat="false" ht="23.85" hidden="false" customHeight="false" outlineLevel="0" collapsed="false">
      <c r="A23" s="7" t="n">
        <v>15</v>
      </c>
      <c r="B23" s="20" t="s">
        <v>138</v>
      </c>
      <c r="C23" s="7" t="s">
        <v>139</v>
      </c>
      <c r="D23" s="7" t="s">
        <v>140</v>
      </c>
      <c r="E23" s="7" t="s">
        <v>70</v>
      </c>
      <c r="F23" s="7" t="s">
        <v>109</v>
      </c>
      <c r="G23" s="7" t="s">
        <v>132</v>
      </c>
      <c r="H23" s="7" t="n">
        <v>7</v>
      </c>
      <c r="I23" s="7" t="n">
        <v>4</v>
      </c>
      <c r="J23" s="10" t="str">
        <f aca="false">IF(OR('Customer Information'!$B$20="",'Customer Information'!$B$13=""),"",'Customer Information'!$B$20+IF('Customer Information'!$B$13="Enterprise",H23,I23)-IF(IF('Customer Information'!$B$13="Enterprise",H23,I23)=0,0,1))</f>
        <v/>
      </c>
      <c r="K23" s="5" t="s">
        <v>100</v>
      </c>
      <c r="L23" s="8"/>
      <c r="M23" s="5"/>
      <c r="N23" s="5"/>
    </row>
    <row r="24" customFormat="false" ht="23.85" hidden="false" customHeight="false" outlineLevel="0" collapsed="false">
      <c r="A24" s="7" t="n">
        <v>16</v>
      </c>
      <c r="B24" s="20" t="s">
        <v>138</v>
      </c>
      <c r="C24" s="7" t="s">
        <v>141</v>
      </c>
      <c r="D24" s="7" t="s">
        <v>142</v>
      </c>
      <c r="E24" s="7" t="s">
        <v>108</v>
      </c>
      <c r="F24" s="7" t="s">
        <v>109</v>
      </c>
      <c r="G24" s="7" t="s">
        <v>132</v>
      </c>
      <c r="H24" s="7" t="n">
        <v>10</v>
      </c>
      <c r="I24" s="7" t="n">
        <v>5</v>
      </c>
      <c r="J24" s="10" t="str">
        <f aca="false">IF(OR('Customer Information'!$B$20="",'Customer Information'!$B$13=""),"",'Customer Information'!$B$20+IF('Customer Information'!$B$13="Enterprise",H24,I24)-IF(IF('Customer Information'!$B$13="Enterprise",H24,I24)=0,0,1))</f>
        <v/>
      </c>
      <c r="K24" s="5" t="s">
        <v>100</v>
      </c>
      <c r="L24" s="8"/>
      <c r="M24" s="5"/>
      <c r="N24" s="5"/>
    </row>
    <row r="25" customFormat="false" ht="23.85" hidden="false" customHeight="false" outlineLevel="0" collapsed="false">
      <c r="A25" s="7" t="n">
        <v>17</v>
      </c>
      <c r="B25" s="20" t="s">
        <v>138</v>
      </c>
      <c r="C25" s="7" t="s">
        <v>143</v>
      </c>
      <c r="D25" s="7" t="s">
        <v>144</v>
      </c>
      <c r="E25" s="7" t="s">
        <v>108</v>
      </c>
      <c r="F25" s="7" t="s">
        <v>109</v>
      </c>
      <c r="G25" s="7" t="s">
        <v>132</v>
      </c>
      <c r="H25" s="7" t="n">
        <v>12</v>
      </c>
      <c r="I25" s="7" t="n">
        <v>6</v>
      </c>
      <c r="J25" s="10" t="str">
        <f aca="false">IF(OR('Customer Information'!$B$20="",'Customer Information'!$B$13=""),"",'Customer Information'!$B$20+IF('Customer Information'!$B$13="Enterprise",H25,I25)-IF(IF('Customer Information'!$B$13="Enterprise",H25,I25)=0,0,1))</f>
        <v/>
      </c>
      <c r="K25" s="5" t="s">
        <v>100</v>
      </c>
      <c r="L25" s="8"/>
      <c r="M25" s="5"/>
      <c r="N25" s="5"/>
    </row>
    <row r="26" customFormat="false" ht="23.85" hidden="false" customHeight="false" outlineLevel="0" collapsed="false">
      <c r="A26" s="7" t="n">
        <v>18</v>
      </c>
      <c r="B26" s="20" t="s">
        <v>138</v>
      </c>
      <c r="C26" s="7" t="s">
        <v>145</v>
      </c>
      <c r="D26" s="7" t="s">
        <v>146</v>
      </c>
      <c r="E26" s="7" t="s">
        <v>108</v>
      </c>
      <c r="F26" s="7" t="s">
        <v>109</v>
      </c>
      <c r="G26" s="7" t="s">
        <v>132</v>
      </c>
      <c r="H26" s="7" t="n">
        <v>14</v>
      </c>
      <c r="I26" s="7" t="n">
        <v>7</v>
      </c>
      <c r="J26" s="10" t="str">
        <f aca="false">IF(OR('Customer Information'!$B$20="",'Customer Information'!$B$13=""),"",'Customer Information'!$B$20+IF('Customer Information'!$B$13="Enterprise",H26,I26)-IF(IF('Customer Information'!$B$13="Enterprise",H26,I26)=0,0,1))</f>
        <v/>
      </c>
      <c r="K26" s="5" t="s">
        <v>100</v>
      </c>
      <c r="L26" s="8"/>
      <c r="M26" s="5"/>
      <c r="N26" s="5"/>
    </row>
    <row r="27" customFormat="false" ht="35.05" hidden="false" customHeight="false" outlineLevel="0" collapsed="false">
      <c r="A27" s="7" t="n">
        <v>19</v>
      </c>
      <c r="B27" s="20" t="s">
        <v>138</v>
      </c>
      <c r="C27" s="7" t="s">
        <v>147</v>
      </c>
      <c r="D27" s="7" t="s">
        <v>148</v>
      </c>
      <c r="E27" s="7" t="s">
        <v>70</v>
      </c>
      <c r="F27" s="7" t="s">
        <v>109</v>
      </c>
      <c r="G27" s="7" t="s">
        <v>132</v>
      </c>
      <c r="H27" s="7" t="n">
        <v>16</v>
      </c>
      <c r="I27" s="7" t="n">
        <v>8</v>
      </c>
      <c r="J27" s="10" t="str">
        <f aca="false">IF(OR('Customer Information'!$B$20="",'Customer Information'!$B$13=""),"",'Customer Information'!$B$20+IF('Customer Information'!$B$13="Enterprise",H27,I27)-IF(IF('Customer Information'!$B$13="Enterprise",H27,I27)=0,0,1))</f>
        <v/>
      </c>
      <c r="K27" s="5" t="s">
        <v>100</v>
      </c>
      <c r="L27" s="8"/>
      <c r="M27" s="5"/>
      <c r="N27" s="5"/>
    </row>
    <row r="28" customFormat="false" ht="15" hidden="false" customHeight="false" outlineLevel="0" collapsed="false">
      <c r="A28" s="7" t="n">
        <v>20</v>
      </c>
      <c r="B28" s="21" t="s">
        <v>149</v>
      </c>
      <c r="C28" s="7" t="s">
        <v>150</v>
      </c>
      <c r="D28" s="7" t="s">
        <v>151</v>
      </c>
      <c r="E28" s="7" t="s">
        <v>108</v>
      </c>
      <c r="F28" s="7" t="s">
        <v>109</v>
      </c>
      <c r="G28" s="7" t="s">
        <v>132</v>
      </c>
      <c r="H28" s="7" t="n">
        <v>12</v>
      </c>
      <c r="I28" s="7" t="n">
        <v>6</v>
      </c>
      <c r="J28" s="10" t="str">
        <f aca="false">IF(OR('Customer Information'!$B$20="",'Customer Information'!$B$13=""),"",'Customer Information'!$B$20+IF('Customer Information'!$B$13="Enterprise",H28,I28)-IF(IF('Customer Information'!$B$13="Enterprise",H28,I28)=0,0,1))</f>
        <v/>
      </c>
      <c r="K28" s="5" t="s">
        <v>100</v>
      </c>
      <c r="L28" s="8"/>
      <c r="M28" s="5"/>
      <c r="N28" s="5"/>
    </row>
    <row r="29" customFormat="false" ht="15" hidden="false" customHeight="false" outlineLevel="0" collapsed="false">
      <c r="A29" s="7" t="n">
        <v>21</v>
      </c>
      <c r="B29" s="21" t="s">
        <v>149</v>
      </c>
      <c r="C29" s="7" t="s">
        <v>152</v>
      </c>
      <c r="D29" s="7" t="s">
        <v>153</v>
      </c>
      <c r="E29" s="7" t="s">
        <v>108</v>
      </c>
      <c r="F29" s="7" t="s">
        <v>109</v>
      </c>
      <c r="G29" s="7" t="s">
        <v>132</v>
      </c>
      <c r="H29" s="7" t="n">
        <v>17</v>
      </c>
      <c r="I29" s="7" t="n">
        <v>8</v>
      </c>
      <c r="J29" s="10" t="str">
        <f aca="false">IF(OR('Customer Information'!$B$20="",'Customer Information'!$B$13=""),"",'Customer Information'!$B$20+IF('Customer Information'!$B$13="Enterprise",H29,I29)-IF(IF('Customer Information'!$B$13="Enterprise",H29,I29)=0,0,1))</f>
        <v/>
      </c>
      <c r="K29" s="5" t="s">
        <v>100</v>
      </c>
      <c r="L29" s="8"/>
      <c r="M29" s="5"/>
      <c r="N29" s="5"/>
    </row>
    <row r="30" customFormat="false" ht="23.85" hidden="false" customHeight="false" outlineLevel="0" collapsed="false">
      <c r="A30" s="7" t="n">
        <v>22</v>
      </c>
      <c r="B30" s="21" t="s">
        <v>149</v>
      </c>
      <c r="C30" s="7" t="s">
        <v>154</v>
      </c>
      <c r="D30" s="7" t="s">
        <v>155</v>
      </c>
      <c r="E30" s="7" t="s">
        <v>108</v>
      </c>
      <c r="F30" s="7" t="s">
        <v>109</v>
      </c>
      <c r="G30" s="7" t="s">
        <v>132</v>
      </c>
      <c r="H30" s="7" t="n">
        <v>19</v>
      </c>
      <c r="I30" s="7" t="n">
        <v>9</v>
      </c>
      <c r="J30" s="10" t="str">
        <f aca="false">IF(OR('Customer Information'!$B$20="",'Customer Information'!$B$13=""),"",'Customer Information'!$B$20+IF('Customer Information'!$B$13="Enterprise",H30,I30)-IF(IF('Customer Information'!$B$13="Enterprise",H30,I30)=0,0,1))</f>
        <v/>
      </c>
      <c r="K30" s="5" t="s">
        <v>100</v>
      </c>
      <c r="L30" s="8"/>
      <c r="M30" s="5"/>
      <c r="N30" s="5"/>
    </row>
    <row r="31" customFormat="false" ht="23.85" hidden="false" customHeight="false" outlineLevel="0" collapsed="false">
      <c r="A31" s="7" t="n">
        <v>23</v>
      </c>
      <c r="B31" s="21" t="s">
        <v>149</v>
      </c>
      <c r="C31" s="7" t="s">
        <v>156</v>
      </c>
      <c r="D31" s="7" t="s">
        <v>157</v>
      </c>
      <c r="E31" s="7" t="s">
        <v>108</v>
      </c>
      <c r="F31" s="7" t="s">
        <v>109</v>
      </c>
      <c r="G31" s="7" t="s">
        <v>132</v>
      </c>
      <c r="H31" s="7" t="n">
        <v>23</v>
      </c>
      <c r="I31" s="7" t="n">
        <v>10</v>
      </c>
      <c r="J31" s="10" t="str">
        <f aca="false">IF(OR('Customer Information'!$B$20="",'Customer Information'!$B$13=""),"",'Customer Information'!$B$20+IF('Customer Information'!$B$13="Enterprise",H31,I31)-IF(IF('Customer Information'!$B$13="Enterprise",H31,I31)=0,0,1))</f>
        <v/>
      </c>
      <c r="K31" s="5" t="s">
        <v>100</v>
      </c>
      <c r="L31" s="8"/>
      <c r="M31" s="5"/>
      <c r="N31" s="5"/>
    </row>
    <row r="32" customFormat="false" ht="23.85" hidden="false" customHeight="false" outlineLevel="0" collapsed="false">
      <c r="A32" s="7" t="n">
        <v>24</v>
      </c>
      <c r="B32" s="22" t="s">
        <v>158</v>
      </c>
      <c r="C32" s="7" t="s">
        <v>159</v>
      </c>
      <c r="D32" s="7" t="s">
        <v>160</v>
      </c>
      <c r="E32" s="7" t="s">
        <v>108</v>
      </c>
      <c r="F32" s="7" t="s">
        <v>109</v>
      </c>
      <c r="G32" s="7" t="s">
        <v>132</v>
      </c>
      <c r="H32" s="7" t="n">
        <v>25</v>
      </c>
      <c r="I32" s="7" t="n">
        <v>11</v>
      </c>
      <c r="J32" s="10" t="str">
        <f aca="false">IF(OR('Customer Information'!$B$20="",'Customer Information'!$B$13=""),"",'Customer Information'!$B$20+IF('Customer Information'!$B$13="Enterprise",H32,I32)-IF(IF('Customer Information'!$B$13="Enterprise",H32,I32)=0,0,1))</f>
        <v/>
      </c>
      <c r="K32" s="5" t="s">
        <v>100</v>
      </c>
      <c r="L32" s="8"/>
      <c r="M32" s="5"/>
      <c r="N32" s="5"/>
    </row>
    <row r="33" customFormat="false" ht="23.85" hidden="false" customHeight="false" outlineLevel="0" collapsed="false">
      <c r="A33" s="7" t="n">
        <v>25</v>
      </c>
      <c r="B33" s="22" t="s">
        <v>158</v>
      </c>
      <c r="C33" s="7" t="s">
        <v>161</v>
      </c>
      <c r="D33" s="7" t="s">
        <v>162</v>
      </c>
      <c r="E33" s="7" t="s">
        <v>108</v>
      </c>
      <c r="F33" s="7" t="s">
        <v>109</v>
      </c>
      <c r="G33" s="7" t="s">
        <v>132</v>
      </c>
      <c r="H33" s="7" t="n">
        <v>28</v>
      </c>
      <c r="I33" s="7" t="n">
        <v>13</v>
      </c>
      <c r="J33" s="10" t="str">
        <f aca="false">IF(OR('Customer Information'!$B$20="",'Customer Information'!$B$13=""),"",'Customer Information'!$B$20+IF('Customer Information'!$B$13="Enterprise",H33,I33)-IF(IF('Customer Information'!$B$13="Enterprise",H33,I33)=0,0,1))</f>
        <v/>
      </c>
      <c r="K33" s="5" t="s">
        <v>100</v>
      </c>
      <c r="L33" s="8"/>
      <c r="M33" s="5"/>
      <c r="N33" s="5"/>
    </row>
    <row r="34" customFormat="false" ht="23.85" hidden="false" customHeight="false" outlineLevel="0" collapsed="false">
      <c r="A34" s="7" t="n">
        <v>26</v>
      </c>
      <c r="B34" s="23" t="s">
        <v>163</v>
      </c>
      <c r="C34" s="7" t="s">
        <v>164</v>
      </c>
      <c r="D34" s="7" t="s">
        <v>165</v>
      </c>
      <c r="E34" s="7" t="s">
        <v>108</v>
      </c>
      <c r="F34" s="7" t="s">
        <v>109</v>
      </c>
      <c r="G34" s="7" t="s">
        <v>132</v>
      </c>
      <c r="H34" s="7" t="n">
        <v>29</v>
      </c>
      <c r="I34" s="7" t="n">
        <v>14</v>
      </c>
      <c r="J34" s="10" t="str">
        <f aca="false">IF(OR('Customer Information'!$B$20="",'Customer Information'!$B$13=""),"",'Customer Information'!$B$20+IF('Customer Information'!$B$13="Enterprise",H34,I34)-IF(IF('Customer Information'!$B$13="Enterprise",H34,I34)=0,0,1))</f>
        <v/>
      </c>
      <c r="K34" s="5" t="s">
        <v>100</v>
      </c>
      <c r="L34" s="8"/>
      <c r="M34" s="5"/>
      <c r="N34" s="5"/>
    </row>
    <row r="35" customFormat="false" ht="23.85" hidden="false" customHeight="false" outlineLevel="0" collapsed="false">
      <c r="A35" s="7" t="n">
        <v>27</v>
      </c>
      <c r="B35" s="23" t="s">
        <v>163</v>
      </c>
      <c r="C35" s="7" t="s">
        <v>166</v>
      </c>
      <c r="D35" s="7" t="s">
        <v>167</v>
      </c>
      <c r="E35" s="7" t="s">
        <v>168</v>
      </c>
      <c r="F35" s="7" t="s">
        <v>109</v>
      </c>
      <c r="G35" s="7" t="s">
        <v>132</v>
      </c>
      <c r="H35" s="7" t="n">
        <v>30</v>
      </c>
      <c r="I35" s="7" t="n">
        <v>14</v>
      </c>
      <c r="J35" s="10" t="str">
        <f aca="false">IF(OR('Customer Information'!$B$20="",'Customer Information'!$B$13=""),"",'Customer Information'!$B$20+IF('Customer Information'!$B$13="Enterprise",H35,I35)-IF(IF('Customer Information'!$B$13="Enterprise",H35,I35)=0,0,1))</f>
        <v/>
      </c>
      <c r="K35" s="5" t="s">
        <v>100</v>
      </c>
      <c r="L35" s="8"/>
      <c r="M35" s="5"/>
      <c r="N35" s="5"/>
    </row>
    <row r="36" customFormat="false" ht="15" hidden="false" customHeight="false" outlineLevel="0" collapsed="false">
      <c r="A36" s="7" t="n">
        <v>28</v>
      </c>
      <c r="B36" s="23" t="s">
        <v>163</v>
      </c>
      <c r="C36" s="7" t="s">
        <v>169</v>
      </c>
      <c r="D36" s="7" t="s">
        <v>170</v>
      </c>
      <c r="E36" s="7" t="s">
        <v>108</v>
      </c>
      <c r="F36" s="7" t="s">
        <v>109</v>
      </c>
      <c r="G36" s="7" t="s">
        <v>99</v>
      </c>
      <c r="H36" s="7" t="n">
        <v>30</v>
      </c>
      <c r="I36" s="7" t="n">
        <v>14</v>
      </c>
      <c r="J36" s="10" t="str">
        <f aca="false">IF(OR('Customer Information'!$B$20="",'Customer Information'!$B$13=""),"",'Customer Information'!$B$20+IF('Customer Information'!$B$13="Enterprise",H36,I36)-IF(IF('Customer Information'!$B$13="Enterprise",H36,I36)=0,0,1))</f>
        <v/>
      </c>
      <c r="K36" s="5" t="s">
        <v>100</v>
      </c>
      <c r="L36" s="8"/>
      <c r="M36" s="5"/>
      <c r="N36" s="5"/>
    </row>
    <row r="37" customFormat="false" ht="15" hidden="false" customHeight="false" outlineLevel="0" collapsed="false">
      <c r="A37" s="7" t="n">
        <v>29</v>
      </c>
      <c r="B37" s="23" t="s">
        <v>163</v>
      </c>
      <c r="C37" s="7" t="s">
        <v>171</v>
      </c>
      <c r="D37" s="7" t="s">
        <v>172</v>
      </c>
      <c r="E37" s="7" t="s">
        <v>128</v>
      </c>
      <c r="F37" s="7" t="s">
        <v>109</v>
      </c>
      <c r="G37" s="7" t="s">
        <v>99</v>
      </c>
      <c r="H37" s="7" t="n">
        <v>30</v>
      </c>
      <c r="I37" s="7" t="n">
        <v>14</v>
      </c>
      <c r="J37" s="10" t="str">
        <f aca="false">IF(OR('Customer Information'!$B$20="",'Customer Information'!$B$13=""),"",'Customer Information'!$B$20+IF('Customer Information'!$B$13="Enterprise",H37,I37)-IF(IF('Customer Information'!$B$13="Enterprise",H37,I37)=0,0,1))</f>
        <v/>
      </c>
      <c r="K37" s="5" t="s">
        <v>100</v>
      </c>
      <c r="L37" s="8"/>
      <c r="M37" s="5"/>
      <c r="N37" s="5"/>
    </row>
    <row r="38" customFormat="false" ht="15" hidden="false" customHeight="false" outlineLevel="0" collapsed="false">
      <c r="A38" s="7" t="n">
        <v>30</v>
      </c>
      <c r="B38" s="23" t="s">
        <v>163</v>
      </c>
      <c r="C38" s="7" t="s">
        <v>173</v>
      </c>
      <c r="D38" s="7" t="s">
        <v>174</v>
      </c>
      <c r="E38" s="7" t="s">
        <v>108</v>
      </c>
      <c r="F38" s="7" t="s">
        <v>109</v>
      </c>
      <c r="G38" s="7" t="s">
        <v>99</v>
      </c>
      <c r="H38" s="7" t="n">
        <v>30</v>
      </c>
      <c r="I38" s="7" t="n">
        <v>14</v>
      </c>
      <c r="J38" s="10" t="str">
        <f aca="false">IF(OR('Customer Information'!$B$20="",'Customer Information'!$B$13=""),"",'Customer Information'!$B$20+IF('Customer Information'!$B$13="Enterprise",H38,I38)-IF(IF('Customer Information'!$B$13="Enterprise",H38,I38)=0,0,1))</f>
        <v/>
      </c>
      <c r="K38" s="5" t="s">
        <v>100</v>
      </c>
      <c r="L38" s="8"/>
      <c r="M38" s="5"/>
      <c r="N38" s="5"/>
    </row>
  </sheetData>
  <autoFilter ref="A8:N38"/>
  <conditionalFormatting sqref="A9:N38">
    <cfRule type="expression" priority="2" aboveAverage="0" equalAverage="0" bottom="0" percent="0" rank="0" text="" dxfId="12">
      <formula>$K9="Done"</formula>
    </cfRule>
    <cfRule type="expression" priority="3" aboveAverage="0" equalAverage="0" bottom="0" percent="0" rank="0" text="" dxfId="13">
      <formula>$K9="Blocked"</formula>
    </cfRule>
    <cfRule type="expression" priority="4" aboveAverage="0" equalAverage="0" bottom="0" percent="0" rank="0" text="" dxfId="14">
      <formula>AND($J9&lt;&gt;"",$J9&lt;TODAY(),$K9&lt;&gt;"Done",$K9&lt;&gt;"N/A")</formula>
    </cfRule>
  </conditionalFormatting>
  <dataValidations count="1">
    <dataValidation allowBlank="true" errorStyle="stop" operator="between" showDropDown="false" showErrorMessage="false" showInputMessage="false" sqref="K9:K38" type="list">
      <formula1>"Not started,In progress,Blocked,Done,N/A"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46"/>
  </cols>
  <sheetData>
    <row r="1" customFormat="false" ht="17.35" hidden="false" customHeight="false" outlineLevel="0" collapsed="false">
      <c r="A1" s="1" t="s">
        <v>175</v>
      </c>
    </row>
    <row r="3" customFormat="false" ht="15" hidden="false" customHeight="false" outlineLevel="0" collapsed="false">
      <c r="A3" s="16" t="s">
        <v>176</v>
      </c>
      <c r="B3" s="16" t="s">
        <v>29</v>
      </c>
      <c r="C3" s="16" t="s">
        <v>177</v>
      </c>
    </row>
    <row r="4" customFormat="false" ht="15" hidden="false" customHeight="false" outlineLevel="0" collapsed="false">
      <c r="A4" s="4" t="s">
        <v>178</v>
      </c>
      <c r="B4" s="7" t="s">
        <v>179</v>
      </c>
      <c r="C4" s="7" t="s">
        <v>180</v>
      </c>
    </row>
    <row r="5" customFormat="false" ht="15" hidden="false" customHeight="false" outlineLevel="0" collapsed="false">
      <c r="A5" s="4" t="s">
        <v>39</v>
      </c>
      <c r="B5" s="7" t="s">
        <v>40</v>
      </c>
      <c r="C5" s="7" t="s">
        <v>181</v>
      </c>
    </row>
    <row r="6" customFormat="false" ht="15" hidden="false" customHeight="false" outlineLevel="0" collapsed="false">
      <c r="A6" s="4" t="s">
        <v>182</v>
      </c>
      <c r="B6" s="7" t="s">
        <v>183</v>
      </c>
      <c r="C6" s="7" t="s">
        <v>184</v>
      </c>
    </row>
    <row r="7" customFormat="false" ht="15" hidden="false" customHeight="false" outlineLevel="0" collapsed="false">
      <c r="A7" s="4" t="s">
        <v>185</v>
      </c>
      <c r="B7" s="7" t="s">
        <v>186</v>
      </c>
      <c r="C7" s="7" t="s">
        <v>187</v>
      </c>
    </row>
    <row r="8" customFormat="false" ht="15" hidden="false" customHeight="false" outlineLevel="0" collapsed="false">
      <c r="A8" s="4" t="s">
        <v>188</v>
      </c>
      <c r="B8" s="7" t="s">
        <v>189</v>
      </c>
      <c r="C8" s="7" t="s">
        <v>190</v>
      </c>
    </row>
    <row r="9" customFormat="false" ht="15" hidden="false" customHeight="false" outlineLevel="0" collapsed="false">
      <c r="A9" s="4" t="s">
        <v>191</v>
      </c>
      <c r="B9" s="7" t="s">
        <v>192</v>
      </c>
      <c r="C9" s="7" t="s">
        <v>193</v>
      </c>
    </row>
    <row r="10" customFormat="false" ht="15" hidden="false" customHeight="false" outlineLevel="0" collapsed="false">
      <c r="A10" s="4" t="s">
        <v>194</v>
      </c>
      <c r="B10" s="7" t="s">
        <v>195</v>
      </c>
      <c r="C10" s="7" t="s">
        <v>196</v>
      </c>
    </row>
    <row r="11" customFormat="false" ht="15" hidden="false" customHeight="false" outlineLevel="0" collapsed="false">
      <c r="A11" s="4" t="s">
        <v>154</v>
      </c>
      <c r="B11" s="7" t="s">
        <v>197</v>
      </c>
      <c r="C11" s="7" t="s">
        <v>198</v>
      </c>
    </row>
    <row r="12" customFormat="false" ht="15" hidden="false" customHeight="false" outlineLevel="0" collapsed="false">
      <c r="A12" s="4" t="s">
        <v>199</v>
      </c>
      <c r="B12" s="7" t="s">
        <v>200</v>
      </c>
      <c r="C12" s="7" t="s">
        <v>201</v>
      </c>
    </row>
    <row r="13" customFormat="false" ht="15" hidden="false" customHeight="false" outlineLevel="0" collapsed="false">
      <c r="A13" s="4" t="s">
        <v>202</v>
      </c>
      <c r="B13" s="7" t="s">
        <v>203</v>
      </c>
      <c r="C13" s="7" t="s">
        <v>204</v>
      </c>
    </row>
    <row r="14" customFormat="false" ht="15" hidden="false" customHeight="false" outlineLevel="0" collapsed="false">
      <c r="A14" s="4" t="s">
        <v>205</v>
      </c>
      <c r="B14" s="7" t="s">
        <v>206</v>
      </c>
      <c r="C14" s="7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207</v>
      </c>
    </row>
    <row r="3" customFormat="false" ht="15" hidden="false" customHeight="false" outlineLevel="0" collapsed="false">
      <c r="A3" s="16" t="s">
        <v>208</v>
      </c>
      <c r="B3" s="16" t="s">
        <v>209</v>
      </c>
      <c r="C3" s="16" t="s">
        <v>210</v>
      </c>
      <c r="D3" s="16" t="s">
        <v>211</v>
      </c>
    </row>
    <row r="4" customFormat="false" ht="15" hidden="false" customHeight="false" outlineLevel="0" collapsed="false">
      <c r="A4" s="4" t="s">
        <v>212</v>
      </c>
      <c r="B4" s="7" t="s">
        <v>213</v>
      </c>
      <c r="C4" s="7" t="s">
        <v>214</v>
      </c>
      <c r="D4" s="7" t="s">
        <v>215</v>
      </c>
    </row>
    <row r="5" customFormat="false" ht="15" hidden="false" customHeight="false" outlineLevel="0" collapsed="false">
      <c r="A5" s="4" t="s">
        <v>216</v>
      </c>
      <c r="B5" s="7" t="s">
        <v>213</v>
      </c>
      <c r="C5" s="7" t="s">
        <v>217</v>
      </c>
      <c r="D5" s="7" t="s">
        <v>218</v>
      </c>
    </row>
    <row r="6" customFormat="false" ht="35.05" hidden="false" customHeight="false" outlineLevel="0" collapsed="false">
      <c r="A6" s="4" t="s">
        <v>219</v>
      </c>
      <c r="B6" s="7" t="s">
        <v>220</v>
      </c>
      <c r="C6" s="7" t="s">
        <v>221</v>
      </c>
      <c r="D6" s="7" t="s">
        <v>222</v>
      </c>
    </row>
    <row r="7" customFormat="false" ht="15" hidden="false" customHeight="false" outlineLevel="0" collapsed="false">
      <c r="A7" s="4" t="s">
        <v>223</v>
      </c>
      <c r="B7" s="7" t="s">
        <v>97</v>
      </c>
      <c r="C7" s="7" t="s">
        <v>224</v>
      </c>
      <c r="D7" s="7" t="s">
        <v>225</v>
      </c>
    </row>
    <row r="8" customFormat="false" ht="23.85" hidden="false" customHeight="false" outlineLevel="0" collapsed="false">
      <c r="A8" s="4" t="s">
        <v>226</v>
      </c>
      <c r="B8" s="7" t="s">
        <v>97</v>
      </c>
      <c r="C8" s="7" t="s">
        <v>227</v>
      </c>
      <c r="D8" s="7" t="s">
        <v>228</v>
      </c>
    </row>
    <row r="9" customFormat="false" ht="23.85" hidden="false" customHeight="false" outlineLevel="0" collapsed="false">
      <c r="A9" s="4" t="s">
        <v>229</v>
      </c>
      <c r="B9" s="7" t="s">
        <v>230</v>
      </c>
      <c r="C9" s="7" t="s">
        <v>231</v>
      </c>
      <c r="D9" s="7" t="s">
        <v>232</v>
      </c>
    </row>
    <row r="10" customFormat="false" ht="23.85" hidden="false" customHeight="false" outlineLevel="0" collapsed="false">
      <c r="A10" s="4" t="s">
        <v>233</v>
      </c>
      <c r="B10" s="7" t="s">
        <v>234</v>
      </c>
      <c r="C10" s="7" t="s">
        <v>235</v>
      </c>
      <c r="D10" s="7" t="s">
        <v>236</v>
      </c>
    </row>
    <row r="11" customFormat="false" ht="15" hidden="false" customHeight="false" outlineLevel="0" collapsed="false">
      <c r="A11" s="4" t="s">
        <v>237</v>
      </c>
      <c r="B11" s="7" t="s">
        <v>238</v>
      </c>
      <c r="C11" s="7" t="s">
        <v>239</v>
      </c>
      <c r="D11" s="7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2026-10-07T08:51:23Z</dcterms:created>
  <dc:creator>openpyxl</dc:creator>
  <dc:description/>
  <dc:language>en-US</dc:language>
  <cp:lastModifiedBy/>
  <dcterms:modified xsi:type="dcterms:W3CDTF">2026-10-07T08:51:23Z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